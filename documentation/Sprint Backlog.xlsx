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  <sheet name="Sprint Summary" sheetId="2" state="visible" r:id="rId4"/>
    <sheet name="Reference Data" sheetId="3" state="visible" r:id="rId5"/>
    <sheet name="Screen Layou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<sst xmlns="http://schemas.openxmlformats.org/spreadsheetml/2006/main" count="383" uniqueCount="259">
  <si>
    <t xml:space="preserve">ID</t>
  </si>
  <si>
    <t xml:space="preserve">Screen / Epic</t>
  </si>
  <si>
    <t xml:space="preserve">Priority</t>
  </si>
  <si>
    <t xml:space="preserve">As a...</t>
  </si>
  <si>
    <t xml:space="preserve">I want to...</t>
  </si>
  <si>
    <t xml:space="preserve">So that...</t>
  </si>
  <si>
    <t xml:space="preserve">Acceptance Criteria</t>
  </si>
  <si>
    <t xml:space="preserve">Development Tasks</t>
  </si>
  <si>
    <t xml:space="preserve">Story Points</t>
  </si>
  <si>
    <t xml:space="preserve">Sprint</t>
  </si>
  <si>
    <t xml:space="preserve">Status</t>
  </si>
  <si>
    <t xml:space="preserve">Estimated Time (hrs)</t>
  </si>
  <si>
    <t xml:space="preserve">Source</t>
  </si>
  <si>
    <t xml:space="preserve">FND-1</t>
  </si>
  <si>
    <t xml:space="preserve">Foundation</t>
  </si>
  <si>
    <t xml:space="preserve">Developer</t>
  </si>
  <si>
    <t xml:space="preserve">a JavaFX project with a scene manager that switches between the three screens</t>
  </si>
  <si>
    <t xml:space="preserve">every screen shares one navigation path and one window</t>
  </si>
  <si>
    <t xml:space="preserve">App launches on Login; scene manager can load Login, Device Selection and Admin Dashboard FXML views; session holds the signed-in user.</t>
  </si>
  <si>
    <t xml:space="preserve">Create Maven/Gradle JavaFX project; build SceneManager; build Session class; stub 3 FXML views.</t>
  </si>
  <si>
    <t xml:space="preserve">Sprint 1</t>
  </si>
  <si>
    <t xml:space="preserve">Not Started</t>
  </si>
  <si>
    <t xml:space="preserve">New</t>
  </si>
  <si>
    <t xml:space="preserve">FND-2</t>
  </si>
  <si>
    <t xml:space="preserve">domain classes for User, Device, Department, Building, Role and DeviceStatus</t>
  </si>
  <si>
    <t xml:space="preserve">all screens use the same data model</t>
  </si>
  <si>
    <t xml:space="preserve">Device holds asset ID, serial number, type, manufacturer, model, department, building, room, status, assigned user, checkout date, due date and allowed roles. Status limited to Active/Repairable/Broken.</t>
  </si>
  <si>
    <t xml:space="preserve">Write model classes and enums; add validation in constructors/setters; add equals/hashCode on asset ID.</t>
  </si>
  <si>
    <t xml:space="preserve">Refined (README: Device records)</t>
  </si>
  <si>
    <t xml:space="preserve">FND-3</t>
  </si>
  <si>
    <t xml:space="preserve">a repository layer for users and devices</t>
  </si>
  <si>
    <t xml:space="preserve">screens can create, read, update and delete records without knowing the storage details</t>
  </si>
  <si>
    <t xml:space="preserve">DeviceRepository and UserRepository support CRUD; swappable between in-memory and file/DB storage; duplicate asset ID or serial number rejected.</t>
  </si>
  <si>
    <t xml:space="preserve">Define repository interfaces; implement in-memory version; add duplicate checks.</t>
  </si>
  <si>
    <t xml:space="preserve">FND-4</t>
  </si>
  <si>
    <t xml:space="preserve">seed sample users and devices on startup</t>
  </si>
  <si>
    <t xml:space="preserve">the screens can be demonstrated and tested right away</t>
  </si>
  <si>
    <t xml:space="preserve">At least 2 students, 2 staff, 2 professors, 1 admin; 15+ devices across all departments and several buildings; at least one overdue assignment.</t>
  </si>
  <si>
    <t xml:space="preserve">Create SeedData class with sample users (valid westga.edu emails) and devices.</t>
  </si>
  <si>
    <t xml:space="preserve">FND-5</t>
  </si>
  <si>
    <t xml:space="preserve">unit tests for the core business rules</t>
  </si>
  <si>
    <t xml:space="preserve">email, overdue and role-eligibility rules are verified before the GUI uses them</t>
  </si>
  <si>
    <t xml:space="preserve">Tests pass for: westga.edu validation, overdue check, role-eligibility check, status validation, available-device check.</t>
  </si>
  <si>
    <t xml:space="preserve">Write JUnit tests; create ValidationService, EligibilityService.</t>
  </si>
  <si>
    <t xml:space="preserve">Refined (README: Core Rules)</t>
  </si>
  <si>
    <t xml:space="preserve">LOG-1</t>
  </si>
  <si>
    <t xml:space="preserve">Login</t>
  </si>
  <si>
    <t xml:space="preserve">University User (Student/Staff/Professor)</t>
  </si>
  <si>
    <t xml:space="preserve">sign in with my university email and password</t>
  </si>
  <si>
    <t xml:space="preserve">I can securely access the inventory system</t>
  </si>
  <si>
    <t xml:space="preserve">Login screen has email, password (masked), department selector and Sign In button. Valid credentials open the correct next screen; invalid credentials show a message and stay on Login.</t>
  </si>
  <si>
    <t xml:space="preserve">Build login.fxml; build LoginController; add AuthService to check credentials against UserRepository.</t>
  </si>
  <si>
    <t xml:space="preserve">README P1: sign in</t>
  </si>
  <si>
    <t xml:space="preserve">LOG-2</t>
  </si>
  <si>
    <t xml:space="preserve">have the system validate that my email ends in westga.edu</t>
  </si>
  <si>
    <t xml:space="preserve">only users with valid university credentials can use protected features</t>
  </si>
  <si>
    <t xml:space="preserve">Email is trimmed and checked case-insensitively; anything not ending in westga.edu is rejected with "Please use your westga.edu email address" before any credential check.</t>
  </si>
  <si>
    <t xml:space="preserve">Implement isValidUniversityEmail(); wire to Sign In and to field-level validation.</t>
  </si>
  <si>
    <t xml:space="preserve">README P1: validate email</t>
  </si>
  <si>
    <t xml:space="preserve">LOG-3</t>
  </si>
  <si>
    <t xml:space="preserve">choose my department from a fixed list when signing in</t>
  </si>
  <si>
    <t xml:space="preserve">my device assignments are tied to the correct department</t>
  </si>
  <si>
    <t xml:space="preserve">Dropdown shows the set list of departments (see Reference Data); required for students, staff and professors; selected department is stored in the session.</t>
  </si>
  <si>
    <t xml:space="preserve">Add ComboBox populated from Department enum; require selection; save to Session.</t>
  </si>
  <si>
    <t xml:space="preserve">README P1: department at sign-in</t>
  </si>
  <si>
    <t xml:space="preserve">LOG-4</t>
  </si>
  <si>
    <t xml:space="preserve">send administrators to the admin dashboard and everyone else to device selection</t>
  </si>
  <si>
    <t xml:space="preserve">I only see the screen meant for my role</t>
  </si>
  <si>
    <t xml:space="preserve">Admin role opens Admin Dashboard; Student, Staff and Professor open Device Selection; admins are not forced to choose a department.</t>
  </si>
  <si>
    <t xml:space="preserve">Add role-based routing in LoginController using SceneManager.</t>
  </si>
  <si>
    <t xml:space="preserve">Refined (README P3: roles)</t>
  </si>
  <si>
    <t xml:space="preserve">LOG-5</t>
  </si>
  <si>
    <t xml:space="preserve">see validation messages for blank or invalid fields</t>
  </si>
  <si>
    <t xml:space="preserve">I can correct my information before submitting</t>
  </si>
  <si>
    <t xml:space="preserve">Blank email, blank password or missing department each show an inline message; Sign In stays disabled or blocked until fixed; password is never shown in messages.</t>
  </si>
  <si>
    <t xml:space="preserve">Add inline error labels; add field-level checks in controller.</t>
  </si>
  <si>
    <t xml:space="preserve">Sprint 2</t>
  </si>
  <si>
    <t xml:space="preserve">README P4: validation messages</t>
  </si>
  <si>
    <t xml:space="preserve">LOG-6</t>
  </si>
  <si>
    <t xml:space="preserve">sign out from any screen</t>
  </si>
  <si>
    <t xml:space="preserve">the next person using the computer cannot access my account</t>
  </si>
  <si>
    <t xml:space="preserve">Sign Out button on Device Selection and Admin Dashboard clears the session and returns to Login.</t>
  </si>
  <si>
    <t xml:space="preserve">Add Sign Out button; add Session.clear(); navigate to Login.</t>
  </si>
  <si>
    <t xml:space="preserve">README P3: sign out</t>
  </si>
  <si>
    <t xml:space="preserve">DEV-1</t>
  </si>
  <si>
    <t xml:space="preserve">Device Selection</t>
  </si>
  <si>
    <t xml:space="preserve">view available devices for my department</t>
  </si>
  <si>
    <t xml:space="preserve">I can pick equipment that is not already assigned or unavailable</t>
  </si>
  <si>
    <t xml:space="preserve">Table lists asset ID, type, manufacturer, model, building, room and status for devices that are unassigned, Active and in my department; assigned/Broken/Repairable devices are not selectable.</t>
  </si>
  <si>
    <t xml:space="preserve">Build device_selection.fxml with TableView; query repository by department and availability.</t>
  </si>
  <si>
    <t xml:space="preserve">README P1: view available devices</t>
  </si>
  <si>
    <t xml:space="preserve">DEV-2</t>
  </si>
  <si>
    <t xml:space="preserve">see only devices my role (student, staff or professor) is permitted to use</t>
  </si>
  <si>
    <t xml:space="preserve">I do not select equipment I am not authorized to check out</t>
  </si>
  <si>
    <t xml:space="preserve">Device list is filtered by the device's allowed-roles list set by the admin; a user whose role is not allowed cannot see or assign the device.</t>
  </si>
  <si>
    <t xml:space="preserve">Add RoleEligibility check to repository query; add test cases per role.</t>
  </si>
  <si>
    <t xml:space="preserve">New (admin-granted permissions)</t>
  </si>
  <si>
    <t xml:space="preserve">DEV-3</t>
  </si>
  <si>
    <t xml:space="preserve">filter the list by device type</t>
  </si>
  <si>
    <t xml:space="preserve">I can find the kind of equipment I need quickly</t>
  </si>
  <si>
    <t xml:space="preserve">Type filter (All, Laptop, Desktop, Smart Board, Laptop Cart, Printer, Router, Network Switch, Other) updates the table instantly.</t>
  </si>
  <si>
    <t xml:space="preserve">Add ComboBox filter; use FilteredList on table data.</t>
  </si>
  <si>
    <t xml:space="preserve">README P2: filter devices</t>
  </si>
  <si>
    <t xml:space="preserve">DEV-4</t>
  </si>
  <si>
    <t xml:space="preserve">assign an available device to myself</t>
  </si>
  <si>
    <t xml:space="preserve">I can check out equipment for college work</t>
  </si>
  <si>
    <t xml:space="preserve">Selecting a device and clicking Assign sets assigned user, checkout date (today), due date (default loan length, see Reference Data) and marks it unavailable; table refreshes.</t>
  </si>
  <si>
    <t xml:space="preserve">Add Assign button; implement AssignmentService.assign(); refresh table.</t>
  </si>
  <si>
    <t xml:space="preserve">README P1: assign device</t>
  </si>
  <si>
    <t xml:space="preserve">DEV-5</t>
  </si>
  <si>
    <t xml:space="preserve">be blocked from assigning a device if I have an overdue one, with a clear message</t>
  </si>
  <si>
    <t xml:space="preserve">equipment is returned before I receive another device</t>
  </si>
  <si>
    <t xml:space="preserve">If any of my devices has a due date before today, Assign is rejected with a message naming the overdue device and due date; no data is changed.</t>
  </si>
  <si>
    <t xml:space="preserve">Add hasOverdueAssignment() to EligibilityService; show Alert/inline message.</t>
  </si>
  <si>
    <t xml:space="preserve">README P1: overdue block + message</t>
  </si>
  <si>
    <t xml:space="preserve">DEV-6</t>
  </si>
  <si>
    <t xml:space="preserve">view the device currently assigned to me</t>
  </si>
  <si>
    <t xml:space="preserve">I know what equipment is under my responsibility</t>
  </si>
  <si>
    <t xml:space="preserve">A "My Device" panel shows asset ID, model, building/room, checkout date, due date and status; shows "No device assigned" when empty; overdue date highlighted.</t>
  </si>
  <si>
    <t xml:space="preserve">Add My Device panel bound to Session user.</t>
  </si>
  <si>
    <t xml:space="preserve">README P1: view my device</t>
  </si>
  <si>
    <t xml:space="preserve">DEV-7</t>
  </si>
  <si>
    <t xml:space="preserve">update the status of my assigned device to Active, Repairable or Broken</t>
  </si>
  <si>
    <t xml:space="preserve">the IT department knows the condition of the equipment</t>
  </si>
  <si>
    <t xml:space="preserve">Status dropdown limited to the three allowed values; saving updates the record; a device set to Repairable or Broken becomes unavailable to others.</t>
  </si>
  <si>
    <t xml:space="preserve">Add status ComboBox and Save button; call DeviceService.updateStatus().</t>
  </si>
  <si>
    <t xml:space="preserve">README P1: update status</t>
  </si>
  <si>
    <t xml:space="preserve">DEV-8</t>
  </si>
  <si>
    <t xml:space="preserve">return my device</t>
  </si>
  <si>
    <t xml:space="preserve">it becomes available to another eligible user</t>
  </si>
  <si>
    <t xml:space="preserve">Return clears assigned user, checkout and due dates; device is available again if status is Active; my overdue block is lifted.</t>
  </si>
  <si>
    <t xml:space="preserve">Add Return button; implement AssignmentService.returnDevice().</t>
  </si>
  <si>
    <t xml:space="preserve">README P2: return device</t>
  </si>
  <si>
    <t xml:space="preserve">DEV-9</t>
  </si>
  <si>
    <t xml:space="preserve">receive a confirmation after assigning or returning a device</t>
  </si>
  <si>
    <t xml:space="preserve">I know the transaction was completed</t>
  </si>
  <si>
    <t xml:space="preserve">Confirmation message shows device asset ID and due date on assign and a return confirmation on return.</t>
  </si>
  <si>
    <t xml:space="preserve">Add confirmation Alert/status label.</t>
  </si>
  <si>
    <t xml:space="preserve">README P4: confirmation</t>
  </si>
  <si>
    <t xml:space="preserve">ADM-1</t>
  </si>
  <si>
    <t xml:space="preserve">Admin Dashboard</t>
  </si>
  <si>
    <t xml:space="preserve">Inventory Administrator</t>
  </si>
  <si>
    <t xml:space="preserve">view all devices across every department in one table</t>
  </si>
  <si>
    <t xml:space="preserve">I can monitor the equipment owned by the college</t>
  </si>
  <si>
    <t xml:space="preserve">Table shows asset ID, serial number, type, manufacturer, model, department, building, room, status, assigned user, checkout date and due date; admin-only access.</t>
  </si>
  <si>
    <t xml:space="preserve">Build admin_dashboard.fxml with TableView; load all devices from repository.</t>
  </si>
  <si>
    <t xml:space="preserve">README P1: view device records</t>
  </si>
  <si>
    <t xml:space="preserve">ADM-2</t>
  </si>
  <si>
    <t xml:space="preserve">filter and search devices by type, department, building, status or serial number</t>
  </si>
  <si>
    <t xml:space="preserve">I can find relevant equipment quickly</t>
  </si>
  <si>
    <t xml:space="preserve">Filters combine (e.g. Laptops + Nursing + Broken); search box matches serial number or asset ID; Clear Filters resets view.</t>
  </si>
  <si>
    <t xml:space="preserve">Add filter controls and search field; use FilteredList with combined predicate.</t>
  </si>
  <si>
    <t xml:space="preserve">ADM-3</t>
  </si>
  <si>
    <t xml:space="preserve">create a new device record</t>
  </si>
  <si>
    <t xml:space="preserve">new equipment is added to the campus inventory</t>
  </si>
  <si>
    <t xml:space="preserve">Form requires asset ID, serial number, type, manufacturer, model, department, building, room and status; duplicate asset ID or serial number is rejected; new row appears in table.</t>
  </si>
  <si>
    <t xml:space="preserve">Build create-device form/dialog; add DeviceService.create() with validation.</t>
  </si>
  <si>
    <t xml:space="preserve">README P1: create device</t>
  </si>
  <si>
    <t xml:space="preserve">ADM-4</t>
  </si>
  <si>
    <t xml:space="preserve">record each device's building and room on campus</t>
  </si>
  <si>
    <t xml:space="preserve">I can tell where equipment is being used</t>
  </si>
  <si>
    <t xml:space="preserve">Building is chosen from a set list (see Reference Data); room is free text; both are shown in the table and editable.</t>
  </si>
  <si>
    <t xml:space="preserve">Add building ComboBox and room TextField to form and table.</t>
  </si>
  <si>
    <t xml:space="preserve">README P2: record location</t>
  </si>
  <si>
    <t xml:space="preserve">ADM-5</t>
  </si>
  <si>
    <t xml:space="preserve">choose which user types (Student, Staff, Professor) may use each device</t>
  </si>
  <si>
    <t xml:space="preserve">only authorized kinds of users can check out the device</t>
  </si>
  <si>
    <t xml:space="preserve">Create/Edit form has Student, Staff and Professor checkboxes; at least one must be selected; saved roles drive what users see on Device Selection (DEV-2).</t>
  </si>
  <si>
    <t xml:space="preserve">Add role checkboxes; store allowedRoles on Device; show roles column in table.</t>
  </si>
  <si>
    <t xml:space="preserve">ADM-6</t>
  </si>
  <si>
    <t xml:space="preserve">edit an existing device record</t>
  </si>
  <si>
    <t xml:space="preserve">inventory information stays accurate when equipment changes</t>
  </si>
  <si>
    <t xml:space="preserve">Selecting a row and clicking Edit loads the form; saving updates the record and table; same validation as create.</t>
  </si>
  <si>
    <t xml:space="preserve">Reuse create form in edit mode; implement DeviceService.update().</t>
  </si>
  <si>
    <t xml:space="preserve">README P1: update device</t>
  </si>
  <si>
    <t xml:space="preserve">ADM-7</t>
  </si>
  <si>
    <t xml:space="preserve">delete a device record after confirming</t>
  </si>
  <si>
    <t xml:space="preserve">retired or invalid equipment is removed from inventory</t>
  </si>
  <si>
    <t xml:space="preserve">Delete asks for confirmation; a device that is currently assigned cannot be deleted and shows an explanatory message.</t>
  </si>
  <si>
    <t xml:space="preserve">Add Delete button with confirmation Alert; add assigned check.</t>
  </si>
  <si>
    <t xml:space="preserve">README P1: delete device</t>
  </si>
  <si>
    <t xml:space="preserve">ADM-8</t>
  </si>
  <si>
    <t xml:space="preserve">see overdue assignments highlighted</t>
  </si>
  <si>
    <t xml:space="preserve">I can follow up with users who have not returned equipment</t>
  </si>
  <si>
    <t xml:space="preserve">Rows with a due date before today are highlighted; an overdue counter is shown above the table.</t>
  </si>
  <si>
    <t xml:space="preserve">Add row factory styling; add overdue count label.</t>
  </si>
  <si>
    <t xml:space="preserve">README P2: view overdue</t>
  </si>
  <si>
    <t xml:space="preserve">ADM-9</t>
  </si>
  <si>
    <t xml:space="preserve">have this screen restricted to administrator accounts</t>
  </si>
  <si>
    <t xml:space="preserve">create, edit and delete actions cannot be used by students, staff or professors</t>
  </si>
  <si>
    <t xml:space="preserve">Non-admin roles cannot open the dashboard; service-layer create/update/delete also reject non-admin callers with a clear message.</t>
  </si>
  <si>
    <t xml:space="preserve">Add role guard in SceneManager and DeviceService.</t>
  </si>
  <si>
    <t xml:space="preserve">README P3: restrict actions</t>
  </si>
  <si>
    <t xml:space="preserve">Stories</t>
  </si>
  <si>
    <t xml:space="preserve">Points Done</t>
  </si>
  <si>
    <t xml:space="preserve">% Complete</t>
  </si>
  <si>
    <t xml:space="preserve">Est. Hours</t>
  </si>
  <si>
    <t xml:space="preserve">Total</t>
  </si>
  <si>
    <t xml:space="preserve">Capacity (pts)</t>
  </si>
  <si>
    <t xml:space="preserve">Points vs Capacity</t>
  </si>
  <si>
    <t xml:space="preserve">Team capacity per sprint (points)</t>
  </si>
  <si>
    <t xml:space="preserve">Assumption: capacity of 42 points per sprint is a placeholder; replace with your team's real velocity. Positive 'vs Capacity' = room left.</t>
  </si>
  <si>
    <t xml:space="preserve">Assumption: the 16 estimated hours were split across stories in proportion to story points, in 0.25-hour steps.</t>
  </si>
  <si>
    <t xml:space="preserve">Departments</t>
  </si>
  <si>
    <t xml:space="preserve">Buildings</t>
  </si>
  <si>
    <t xml:space="preserve">User Types (device permissions)</t>
  </si>
  <si>
    <t xml:space="preserve">Device Types</t>
  </si>
  <si>
    <t xml:space="preserve">Device Status</t>
  </si>
  <si>
    <t xml:space="preserve">Computer Science</t>
  </si>
  <si>
    <t xml:space="preserve">Science Building</t>
  </si>
  <si>
    <t xml:space="preserve">Student</t>
  </si>
  <si>
    <t xml:space="preserve">Laptop</t>
  </si>
  <si>
    <t xml:space="preserve">Active</t>
  </si>
  <si>
    <t xml:space="preserve">Mathematics</t>
  </si>
  <si>
    <t xml:space="preserve">Business Building</t>
  </si>
  <si>
    <t xml:space="preserve">Staff</t>
  </si>
  <si>
    <t xml:space="preserve">Desktop</t>
  </si>
  <si>
    <t xml:space="preserve">Repairable</t>
  </si>
  <si>
    <t xml:space="preserve">Biology</t>
  </si>
  <si>
    <t xml:space="preserve">Humanities Hall</t>
  </si>
  <si>
    <t xml:space="preserve">Professor</t>
  </si>
  <si>
    <t xml:space="preserve">Smart Board</t>
  </si>
  <si>
    <t xml:space="preserve">Broken</t>
  </si>
  <si>
    <t xml:space="preserve">Business Administration</t>
  </si>
  <si>
    <t xml:space="preserve">Nursing Building</t>
  </si>
  <si>
    <t xml:space="preserve">Laptop Cart</t>
  </si>
  <si>
    <t xml:space="preserve">English</t>
  </si>
  <si>
    <t xml:space="preserve">Library</t>
  </si>
  <si>
    <t xml:space="preserve">Printer</t>
  </si>
  <si>
    <t xml:space="preserve">Nursing</t>
  </si>
  <si>
    <t xml:space="preserve">Student Center</t>
  </si>
  <si>
    <t xml:space="preserve">Router</t>
  </si>
  <si>
    <t xml:space="preserve">Library Services</t>
  </si>
  <si>
    <t xml:space="preserve">Technology Center</t>
  </si>
  <si>
    <t xml:space="preserve">Network Switch</t>
  </si>
  <si>
    <t xml:space="preserve">IT Services</t>
  </si>
  <si>
    <t xml:space="preserve">IT Annex</t>
  </si>
  <si>
    <t xml:space="preserve">Other</t>
  </si>
  <si>
    <t xml:space="preserve">Default loan length (days)</t>
  </si>
  <si>
    <t xml:space="preserve">Notes / assumptions:</t>
  </si>
  <si>
    <t xml:space="preserve">1. Department, building and loan-length values are assumptions; the README does not list them.</t>
  </si>
  <si>
    <t xml:space="preserve">2. Admins are not tied to a department; they can see all departments.</t>
  </si>
  <si>
    <t xml:space="preserve">3. Device permissions are set per device by admins (Student / Staff / Professor). A device needs at least one allowed user type.</t>
  </si>
  <si>
    <t xml:space="preserve">4. Serial number is a separate field from asset ID; both must be unique.</t>
  </si>
  <si>
    <t xml:space="preserve">Screen</t>
  </si>
  <si>
    <t xml:space="preserve">Who sees it</t>
  </si>
  <si>
    <t xml:space="preserve">Main controls</t>
  </si>
  <si>
    <t xml:space="preserve">Table columns / data shown</t>
  </si>
  <si>
    <t xml:space="preserve">1. Login</t>
  </si>
  <si>
    <t xml:space="preserve">Everyone (before sign-in)</t>
  </si>
  <si>
    <t xml:space="preserve">Email field, Password field, Department dropdown, Sign In button, error message label</t>
  </si>
  <si>
    <t xml:space="preserve">n/a</t>
  </si>
  <si>
    <t xml:space="preserve">2. Device Selection</t>
  </si>
  <si>
    <t xml:space="preserve">Student, Staff, Professor</t>
  </si>
  <si>
    <t xml:space="preserve">Type filter, Assign button, Return button, Status dropdown + Save, My Device panel, Sign Out</t>
  </si>
  <si>
    <t xml:space="preserve">Asset ID, Type, Manufacturer, Model, Building, Room, Status (only available devices permitted for my role in my department)</t>
  </si>
  <si>
    <t xml:space="preserve">3. Admin Dashboard</t>
  </si>
  <si>
    <t xml:space="preserve">Filters (type, department, building, status), search box, Add/Edit/Delete buttons, device form with allowed-user-type checkboxes, overdue counter, Sign Out</t>
  </si>
  <si>
    <t xml:space="preserve">Asset ID, Serial Number, Type, Manufacturer, Model, Department, Building, Room, Status, Assigned User, Checkout Date, Due Date, Allowed User Types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</si>
</sst>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9"/>
    <col collapsed="false" customWidth="true" hidden="false" outlineLevel="0" max="4" min="4" style="0" width="24"/>
    <col collapsed="false" customWidth="true" hidden="false" outlineLevel="0" max="5" min="5" style="0" width="38"/>
    <col collapsed="false" customWidth="true" hidden="false" outlineLevel="0" max="6" min="6" style="0" width="36"/>
    <col collapsed="false" customWidth="true" hidden="false" outlineLevel="0" max="7" min="7" style="0" width="58"/>
    <col collapsed="false" customWidth="true" hidden="false" outlineLevel="0" max="8" min="8" style="0" width="44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5.05" hidden="false" customHeight="false" outlineLevel="0" collapsed="false">
      <c r="A2" s="1" t="s">
        <v>13</v>
      </c>
      <c r="B2" s="1" t="s">
        <v>14</v>
      </c>
      <c r="C2" s="1" t="n">
        <v>1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n">
        <v>3</v>
      </c>
      <c r="J2" s="1" t="s">
        <v>20</v>
      </c>
      <c r="K2" s="1" t="s">
        <v>21</v>
      </c>
      <c r="L2" s="2" t="n">
        <v>0.5</v>
      </c>
      <c r="M2" s="1" t="s">
        <v>22</v>
      </c>
    </row>
    <row r="3" customFormat="false" ht="35.05" hidden="false" customHeight="false" outlineLevel="0" collapsed="false">
      <c r="A3" s="1" t="s">
        <v>23</v>
      </c>
      <c r="B3" s="1" t="s">
        <v>14</v>
      </c>
      <c r="C3" s="1" t="n">
        <v>1</v>
      </c>
      <c r="D3" s="1" t="s">
        <v>15</v>
      </c>
      <c r="E3" s="1" t="s">
        <v>24</v>
      </c>
      <c r="F3" s="1" t="s">
        <v>25</v>
      </c>
      <c r="G3" s="1" t="s">
        <v>26</v>
      </c>
      <c r="H3" s="1" t="s">
        <v>27</v>
      </c>
      <c r="I3" s="1" t="n">
        <v>3</v>
      </c>
      <c r="J3" s="1" t="s">
        <v>20</v>
      </c>
      <c r="K3" s="1" t="s">
        <v>21</v>
      </c>
      <c r="L3" s="2" t="n">
        <v>0.5</v>
      </c>
      <c r="M3" s="1" t="s">
        <v>28</v>
      </c>
    </row>
    <row r="4" customFormat="false" ht="35.05" hidden="false" customHeight="false" outlineLevel="0" collapsed="false">
      <c r="A4" s="1" t="s">
        <v>29</v>
      </c>
      <c r="B4" s="1" t="s">
        <v>14</v>
      </c>
      <c r="C4" s="1" t="n">
        <v>1</v>
      </c>
      <c r="D4" s="1" t="s">
        <v>15</v>
      </c>
      <c r="E4" s="1" t="s">
        <v>30</v>
      </c>
      <c r="F4" s="1" t="s">
        <v>31</v>
      </c>
      <c r="G4" s="1" t="s">
        <v>32</v>
      </c>
      <c r="H4" s="1" t="s">
        <v>33</v>
      </c>
      <c r="I4" s="1" t="n">
        <v>3</v>
      </c>
      <c r="J4" s="1" t="s">
        <v>20</v>
      </c>
      <c r="K4" s="1" t="s">
        <v>21</v>
      </c>
      <c r="L4" s="2" t="n">
        <v>0.5</v>
      </c>
      <c r="M4" s="1" t="s">
        <v>22</v>
      </c>
    </row>
    <row r="5" customFormat="false" ht="35.05" hidden="false" customHeight="false" outlineLevel="0" collapsed="false">
      <c r="A5" s="1" t="s">
        <v>34</v>
      </c>
      <c r="B5" s="1" t="s">
        <v>14</v>
      </c>
      <c r="C5" s="1" t="n">
        <v>1</v>
      </c>
      <c r="D5" s="1" t="s">
        <v>15</v>
      </c>
      <c r="E5" s="1" t="s">
        <v>35</v>
      </c>
      <c r="F5" s="1" t="s">
        <v>36</v>
      </c>
      <c r="G5" s="1" t="s">
        <v>37</v>
      </c>
      <c r="H5" s="1" t="s">
        <v>38</v>
      </c>
      <c r="I5" s="1" t="n">
        <v>2</v>
      </c>
      <c r="J5" s="1" t="s">
        <v>20</v>
      </c>
      <c r="K5" s="1" t="s">
        <v>21</v>
      </c>
      <c r="L5" s="2" t="n">
        <v>0.5</v>
      </c>
      <c r="M5" s="1" t="s">
        <v>22</v>
      </c>
    </row>
    <row r="6" customFormat="false" ht="23.85" hidden="false" customHeight="false" outlineLevel="0" collapsed="false">
      <c r="A6" s="1" t="s">
        <v>39</v>
      </c>
      <c r="B6" s="1" t="s">
        <v>14</v>
      </c>
      <c r="C6" s="1" t="n">
        <v>1</v>
      </c>
      <c r="D6" s="1" t="s">
        <v>15</v>
      </c>
      <c r="E6" s="1" t="s">
        <v>40</v>
      </c>
      <c r="F6" s="1" t="s">
        <v>41</v>
      </c>
      <c r="G6" s="1" t="s">
        <v>42</v>
      </c>
      <c r="H6" s="1" t="s">
        <v>43</v>
      </c>
      <c r="I6" s="1" t="n">
        <v>3</v>
      </c>
      <c r="J6" s="1" t="s">
        <v>20</v>
      </c>
      <c r="K6" s="1" t="s">
        <v>21</v>
      </c>
      <c r="L6" s="2" t="n">
        <v>0.5</v>
      </c>
      <c r="M6" s="1" t="s">
        <v>44</v>
      </c>
    </row>
    <row r="7" customFormat="false" ht="35.05" hidden="false" customHeight="false" outlineLevel="0" collapsed="false">
      <c r="A7" s="1" t="s">
        <v>45</v>
      </c>
      <c r="B7" s="1" t="s">
        <v>46</v>
      </c>
      <c r="C7" s="1" t="n">
        <v>1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n">
        <v>3</v>
      </c>
      <c r="J7" s="1" t="s">
        <v>20</v>
      </c>
      <c r="K7" s="1" t="s">
        <v>21</v>
      </c>
      <c r="L7" s="2" t="n">
        <v>0.5</v>
      </c>
      <c r="M7" s="1" t="s">
        <v>52</v>
      </c>
    </row>
    <row r="8" customFormat="false" ht="35.05" hidden="false" customHeight="false" outlineLevel="0" collapsed="false">
      <c r="A8" s="1" t="s">
        <v>53</v>
      </c>
      <c r="B8" s="1" t="s">
        <v>46</v>
      </c>
      <c r="C8" s="1" t="n">
        <v>1</v>
      </c>
      <c r="D8" s="1" t="s">
        <v>47</v>
      </c>
      <c r="E8" s="1" t="s">
        <v>54</v>
      </c>
      <c r="F8" s="1" t="s">
        <v>55</v>
      </c>
      <c r="G8" s="1" t="s">
        <v>56</v>
      </c>
      <c r="H8" s="1" t="s">
        <v>57</v>
      </c>
      <c r="I8" s="1" t="n">
        <v>2</v>
      </c>
      <c r="J8" s="1" t="s">
        <v>20</v>
      </c>
      <c r="K8" s="1" t="s">
        <v>21</v>
      </c>
      <c r="L8" s="2" t="n">
        <v>0.5</v>
      </c>
      <c r="M8" s="1" t="s">
        <v>58</v>
      </c>
    </row>
    <row r="9" customFormat="false" ht="35.05" hidden="false" customHeight="false" outlineLevel="0" collapsed="false">
      <c r="A9" s="1" t="s">
        <v>59</v>
      </c>
      <c r="B9" s="1" t="s">
        <v>46</v>
      </c>
      <c r="C9" s="1" t="n">
        <v>1</v>
      </c>
      <c r="D9" s="1" t="s">
        <v>47</v>
      </c>
      <c r="E9" s="1" t="s">
        <v>60</v>
      </c>
      <c r="F9" s="1" t="s">
        <v>61</v>
      </c>
      <c r="G9" s="1" t="s">
        <v>62</v>
      </c>
      <c r="H9" s="1" t="s">
        <v>63</v>
      </c>
      <c r="I9" s="1" t="n">
        <v>2</v>
      </c>
      <c r="J9" s="1" t="s">
        <v>20</v>
      </c>
      <c r="K9" s="1" t="s">
        <v>21</v>
      </c>
      <c r="L9" s="2" t="n">
        <v>0.5</v>
      </c>
      <c r="M9" s="1" t="s">
        <v>64</v>
      </c>
    </row>
    <row r="10" customFormat="false" ht="23.85" hidden="false" customHeight="false" outlineLevel="0" collapsed="false">
      <c r="A10" s="1" t="s">
        <v>65</v>
      </c>
      <c r="B10" s="1" t="s">
        <v>46</v>
      </c>
      <c r="C10" s="1" t="n">
        <v>1</v>
      </c>
      <c r="D10" s="1" t="s">
        <v>47</v>
      </c>
      <c r="E10" s="1" t="s">
        <v>66</v>
      </c>
      <c r="F10" s="1" t="s">
        <v>67</v>
      </c>
      <c r="G10" s="1" t="s">
        <v>68</v>
      </c>
      <c r="H10" s="1" t="s">
        <v>69</v>
      </c>
      <c r="I10" s="1" t="n">
        <v>3</v>
      </c>
      <c r="J10" s="1" t="s">
        <v>20</v>
      </c>
      <c r="K10" s="1" t="s">
        <v>21</v>
      </c>
      <c r="L10" s="2" t="n">
        <v>0.5</v>
      </c>
      <c r="M10" s="1" t="s">
        <v>70</v>
      </c>
    </row>
    <row r="11" customFormat="false" ht="35.05" hidden="false" customHeight="false" outlineLevel="0" collapsed="false">
      <c r="A11" s="1" t="s">
        <v>71</v>
      </c>
      <c r="B11" s="1" t="s">
        <v>46</v>
      </c>
      <c r="C11" s="1" t="n">
        <v>4</v>
      </c>
      <c r="D11" s="1" t="s">
        <v>47</v>
      </c>
      <c r="E11" s="1" t="s">
        <v>72</v>
      </c>
      <c r="F11" s="1" t="s">
        <v>73</v>
      </c>
      <c r="G11" s="1" t="s">
        <v>74</v>
      </c>
      <c r="H11" s="1" t="s">
        <v>75</v>
      </c>
      <c r="I11" s="1" t="n">
        <v>2</v>
      </c>
      <c r="J11" s="1" t="s">
        <v>76</v>
      </c>
      <c r="K11" s="1" t="s">
        <v>21</v>
      </c>
      <c r="L11" s="2" t="n">
        <v>0.5</v>
      </c>
      <c r="M11" s="1" t="s">
        <v>77</v>
      </c>
    </row>
    <row r="12" customFormat="false" ht="23.85" hidden="false" customHeight="false" outlineLevel="0" collapsed="false">
      <c r="A12" s="1" t="s">
        <v>78</v>
      </c>
      <c r="B12" s="1" t="s">
        <v>46</v>
      </c>
      <c r="C12" s="1" t="n">
        <v>3</v>
      </c>
      <c r="D12" s="1" t="s">
        <v>47</v>
      </c>
      <c r="E12" s="1" t="s">
        <v>79</v>
      </c>
      <c r="F12" s="1" t="s">
        <v>80</v>
      </c>
      <c r="G12" s="1" t="s">
        <v>81</v>
      </c>
      <c r="H12" s="1" t="s">
        <v>82</v>
      </c>
      <c r="I12" s="1" t="n">
        <v>1</v>
      </c>
      <c r="J12" s="1" t="s">
        <v>76</v>
      </c>
      <c r="K12" s="1" t="s">
        <v>21</v>
      </c>
      <c r="L12" s="2" t="n">
        <v>0.25</v>
      </c>
      <c r="M12" s="1" t="s">
        <v>83</v>
      </c>
    </row>
    <row r="13" customFormat="false" ht="35.05" hidden="false" customHeight="false" outlineLevel="0" collapsed="false">
      <c r="A13" s="1" t="s">
        <v>84</v>
      </c>
      <c r="B13" s="1" t="s">
        <v>85</v>
      </c>
      <c r="C13" s="1" t="n">
        <v>1</v>
      </c>
      <c r="D13" s="1" t="s">
        <v>47</v>
      </c>
      <c r="E13" s="1" t="s">
        <v>86</v>
      </c>
      <c r="F13" s="1" t="s">
        <v>87</v>
      </c>
      <c r="G13" s="1" t="s">
        <v>88</v>
      </c>
      <c r="H13" s="1" t="s">
        <v>89</v>
      </c>
      <c r="I13" s="1" t="n">
        <v>5</v>
      </c>
      <c r="J13" s="1" t="s">
        <v>20</v>
      </c>
      <c r="K13" s="1" t="s">
        <v>21</v>
      </c>
      <c r="L13" s="2" t="n">
        <v>1</v>
      </c>
      <c r="M13" s="1" t="s">
        <v>90</v>
      </c>
    </row>
    <row r="14" customFormat="false" ht="23.85" hidden="false" customHeight="false" outlineLevel="0" collapsed="false">
      <c r="A14" s="1" t="s">
        <v>91</v>
      </c>
      <c r="B14" s="1" t="s">
        <v>85</v>
      </c>
      <c r="C14" s="1" t="n">
        <v>1</v>
      </c>
      <c r="D14" s="1" t="s">
        <v>47</v>
      </c>
      <c r="E14" s="1" t="s">
        <v>92</v>
      </c>
      <c r="F14" s="1" t="s">
        <v>93</v>
      </c>
      <c r="G14" s="1" t="s">
        <v>94</v>
      </c>
      <c r="H14" s="1" t="s">
        <v>95</v>
      </c>
      <c r="I14" s="1" t="n">
        <v>3</v>
      </c>
      <c r="J14" s="1" t="s">
        <v>76</v>
      </c>
      <c r="K14" s="1" t="s">
        <v>21</v>
      </c>
      <c r="L14" s="2" t="n">
        <v>0.5</v>
      </c>
      <c r="M14" s="1" t="s">
        <v>96</v>
      </c>
    </row>
    <row r="15" customFormat="false" ht="23.85" hidden="false" customHeight="false" outlineLevel="0" collapsed="false">
      <c r="A15" s="1" t="s">
        <v>97</v>
      </c>
      <c r="B15" s="1" t="s">
        <v>85</v>
      </c>
      <c r="C15" s="1" t="n">
        <v>2</v>
      </c>
      <c r="D15" s="1" t="s">
        <v>47</v>
      </c>
      <c r="E15" s="1" t="s">
        <v>98</v>
      </c>
      <c r="F15" s="1" t="s">
        <v>99</v>
      </c>
      <c r="G15" s="1" t="s">
        <v>100</v>
      </c>
      <c r="H15" s="1" t="s">
        <v>101</v>
      </c>
      <c r="I15" s="1" t="n">
        <v>2</v>
      </c>
      <c r="J15" s="1" t="s">
        <v>76</v>
      </c>
      <c r="K15" s="1" t="s">
        <v>21</v>
      </c>
      <c r="L15" s="2" t="n">
        <v>0.5</v>
      </c>
      <c r="M15" s="1" t="s">
        <v>102</v>
      </c>
    </row>
    <row r="16" customFormat="false" ht="35.05" hidden="false" customHeight="false" outlineLevel="0" collapsed="false">
      <c r="A16" s="1" t="s">
        <v>103</v>
      </c>
      <c r="B16" s="1" t="s">
        <v>85</v>
      </c>
      <c r="C16" s="1" t="n">
        <v>1</v>
      </c>
      <c r="D16" s="1" t="s">
        <v>47</v>
      </c>
      <c r="E16" s="1" t="s">
        <v>104</v>
      </c>
      <c r="F16" s="1" t="s">
        <v>105</v>
      </c>
      <c r="G16" s="1" t="s">
        <v>106</v>
      </c>
      <c r="H16" s="1" t="s">
        <v>107</v>
      </c>
      <c r="I16" s="1" t="n">
        <v>5</v>
      </c>
      <c r="J16" s="1" t="s">
        <v>76</v>
      </c>
      <c r="K16" s="1" t="s">
        <v>21</v>
      </c>
      <c r="L16" s="2" t="n">
        <v>1</v>
      </c>
      <c r="M16" s="1" t="s">
        <v>108</v>
      </c>
    </row>
    <row r="17" customFormat="false" ht="35.05" hidden="false" customHeight="false" outlineLevel="0" collapsed="false">
      <c r="A17" s="1" t="s">
        <v>109</v>
      </c>
      <c r="B17" s="1" t="s">
        <v>85</v>
      </c>
      <c r="C17" s="1" t="n">
        <v>1</v>
      </c>
      <c r="D17" s="1" t="s">
        <v>47</v>
      </c>
      <c r="E17" s="1" t="s">
        <v>110</v>
      </c>
      <c r="F17" s="1" t="s">
        <v>111</v>
      </c>
      <c r="G17" s="1" t="s">
        <v>112</v>
      </c>
      <c r="H17" s="1" t="s">
        <v>113</v>
      </c>
      <c r="I17" s="1" t="n">
        <v>3</v>
      </c>
      <c r="J17" s="1" t="s">
        <v>76</v>
      </c>
      <c r="K17" s="1" t="s">
        <v>21</v>
      </c>
      <c r="L17" s="2" t="n">
        <v>0.5</v>
      </c>
      <c r="M17" s="1" t="s">
        <v>114</v>
      </c>
    </row>
    <row r="18" customFormat="false" ht="35.05" hidden="false" customHeight="false" outlineLevel="0" collapsed="false">
      <c r="A18" s="1" t="s">
        <v>115</v>
      </c>
      <c r="B18" s="1" t="s">
        <v>85</v>
      </c>
      <c r="C18" s="1" t="n">
        <v>1</v>
      </c>
      <c r="D18" s="1" t="s">
        <v>47</v>
      </c>
      <c r="E18" s="1" t="s">
        <v>116</v>
      </c>
      <c r="F18" s="1" t="s">
        <v>117</v>
      </c>
      <c r="G18" s="1" t="s">
        <v>118</v>
      </c>
      <c r="H18" s="1" t="s">
        <v>119</v>
      </c>
      <c r="I18" s="1" t="n">
        <v>2</v>
      </c>
      <c r="J18" s="1" t="s">
        <v>76</v>
      </c>
      <c r="K18" s="1" t="s">
        <v>21</v>
      </c>
      <c r="L18" s="2" t="n">
        <v>0.5</v>
      </c>
      <c r="M18" s="1" t="s">
        <v>120</v>
      </c>
    </row>
    <row r="19" customFormat="false" ht="35.05" hidden="false" customHeight="false" outlineLevel="0" collapsed="false">
      <c r="A19" s="1" t="s">
        <v>121</v>
      </c>
      <c r="B19" s="1" t="s">
        <v>85</v>
      </c>
      <c r="C19" s="1" t="n">
        <v>1</v>
      </c>
      <c r="D19" s="1" t="s">
        <v>47</v>
      </c>
      <c r="E19" s="1" t="s">
        <v>122</v>
      </c>
      <c r="F19" s="1" t="s">
        <v>123</v>
      </c>
      <c r="G19" s="1" t="s">
        <v>124</v>
      </c>
      <c r="H19" s="1" t="s">
        <v>125</v>
      </c>
      <c r="I19" s="1" t="n">
        <v>3</v>
      </c>
      <c r="J19" s="1" t="s">
        <v>76</v>
      </c>
      <c r="K19" s="1" t="s">
        <v>21</v>
      </c>
      <c r="L19" s="2" t="n">
        <v>0.5</v>
      </c>
      <c r="M19" s="1" t="s">
        <v>126</v>
      </c>
    </row>
    <row r="20" customFormat="false" ht="23.85" hidden="false" customHeight="false" outlineLevel="0" collapsed="false">
      <c r="A20" s="1" t="s">
        <v>127</v>
      </c>
      <c r="B20" s="1" t="s">
        <v>85</v>
      </c>
      <c r="C20" s="1" t="n">
        <v>2</v>
      </c>
      <c r="D20" s="1" t="s">
        <v>47</v>
      </c>
      <c r="E20" s="1" t="s">
        <v>128</v>
      </c>
      <c r="F20" s="1" t="s">
        <v>129</v>
      </c>
      <c r="G20" s="1" t="s">
        <v>130</v>
      </c>
      <c r="H20" s="1" t="s">
        <v>131</v>
      </c>
      <c r="I20" s="1" t="n">
        <v>2</v>
      </c>
      <c r="J20" s="1" t="s">
        <v>76</v>
      </c>
      <c r="K20" s="1" t="s">
        <v>21</v>
      </c>
      <c r="L20" s="2" t="n">
        <v>0.5</v>
      </c>
      <c r="M20" s="1" t="s">
        <v>132</v>
      </c>
    </row>
    <row r="21" customFormat="false" ht="23.85" hidden="false" customHeight="false" outlineLevel="0" collapsed="false">
      <c r="A21" s="1" t="s">
        <v>133</v>
      </c>
      <c r="B21" s="1" t="s">
        <v>85</v>
      </c>
      <c r="C21" s="1" t="n">
        <v>4</v>
      </c>
      <c r="D21" s="1" t="s">
        <v>47</v>
      </c>
      <c r="E21" s="1" t="s">
        <v>134</v>
      </c>
      <c r="F21" s="1" t="s">
        <v>135</v>
      </c>
      <c r="G21" s="1" t="s">
        <v>136</v>
      </c>
      <c r="H21" s="1" t="s">
        <v>137</v>
      </c>
      <c r="I21" s="1" t="n">
        <v>1</v>
      </c>
      <c r="J21" s="1" t="s">
        <v>76</v>
      </c>
      <c r="K21" s="1" t="s">
        <v>21</v>
      </c>
      <c r="L21" s="2" t="n">
        <v>0.25</v>
      </c>
      <c r="M21" s="1" t="s">
        <v>138</v>
      </c>
    </row>
    <row r="22" customFormat="false" ht="35.05" hidden="false" customHeight="false" outlineLevel="0" collapsed="false">
      <c r="A22" s="1" t="s">
        <v>139</v>
      </c>
      <c r="B22" s="1" t="s">
        <v>140</v>
      </c>
      <c r="C22" s="1" t="n">
        <v>1</v>
      </c>
      <c r="D22" s="1" t="s">
        <v>141</v>
      </c>
      <c r="E22" s="1" t="s">
        <v>142</v>
      </c>
      <c r="F22" s="1" t="s">
        <v>143</v>
      </c>
      <c r="G22" s="1" t="s">
        <v>144</v>
      </c>
      <c r="H22" s="1" t="s">
        <v>145</v>
      </c>
      <c r="I22" s="1" t="n">
        <v>5</v>
      </c>
      <c r="J22" s="1" t="s">
        <v>20</v>
      </c>
      <c r="K22" s="1" t="s">
        <v>21</v>
      </c>
      <c r="L22" s="2" t="n">
        <v>1</v>
      </c>
      <c r="M22" s="1" t="s">
        <v>146</v>
      </c>
    </row>
    <row r="23" customFormat="false" ht="23.85" hidden="false" customHeight="false" outlineLevel="0" collapsed="false">
      <c r="A23" s="1" t="s">
        <v>147</v>
      </c>
      <c r="B23" s="1" t="s">
        <v>140</v>
      </c>
      <c r="C23" s="1" t="n">
        <v>2</v>
      </c>
      <c r="D23" s="1" t="s">
        <v>141</v>
      </c>
      <c r="E23" s="1" t="s">
        <v>148</v>
      </c>
      <c r="F23" s="1" t="s">
        <v>149</v>
      </c>
      <c r="G23" s="1" t="s">
        <v>150</v>
      </c>
      <c r="H23" s="1" t="s">
        <v>151</v>
      </c>
      <c r="I23" s="1" t="n">
        <v>3</v>
      </c>
      <c r="J23" s="1" t="s">
        <v>76</v>
      </c>
      <c r="K23" s="1" t="s">
        <v>21</v>
      </c>
      <c r="L23" s="2" t="n">
        <v>0.5</v>
      </c>
      <c r="M23" s="1" t="s">
        <v>102</v>
      </c>
    </row>
    <row r="24" customFormat="false" ht="35.05" hidden="false" customHeight="false" outlineLevel="0" collapsed="false">
      <c r="A24" s="1" t="s">
        <v>152</v>
      </c>
      <c r="B24" s="1" t="s">
        <v>140</v>
      </c>
      <c r="C24" s="1" t="n">
        <v>1</v>
      </c>
      <c r="D24" s="1" t="s">
        <v>141</v>
      </c>
      <c r="E24" s="1" t="s">
        <v>153</v>
      </c>
      <c r="F24" s="1" t="s">
        <v>154</v>
      </c>
      <c r="G24" s="1" t="s">
        <v>155</v>
      </c>
      <c r="H24" s="1" t="s">
        <v>156</v>
      </c>
      <c r="I24" s="1" t="n">
        <v>5</v>
      </c>
      <c r="J24" s="1" t="s">
        <v>20</v>
      </c>
      <c r="K24" s="1" t="s">
        <v>21</v>
      </c>
      <c r="L24" s="2" t="n">
        <v>1</v>
      </c>
      <c r="M24" s="1" t="s">
        <v>157</v>
      </c>
    </row>
    <row r="25" customFormat="false" ht="23.85" hidden="false" customHeight="false" outlineLevel="0" collapsed="false">
      <c r="A25" s="1" t="s">
        <v>158</v>
      </c>
      <c r="B25" s="1" t="s">
        <v>140</v>
      </c>
      <c r="C25" s="1" t="n">
        <v>2</v>
      </c>
      <c r="D25" s="1" t="s">
        <v>141</v>
      </c>
      <c r="E25" s="1" t="s">
        <v>159</v>
      </c>
      <c r="F25" s="1" t="s">
        <v>160</v>
      </c>
      <c r="G25" s="1" t="s">
        <v>161</v>
      </c>
      <c r="H25" s="1" t="s">
        <v>162</v>
      </c>
      <c r="I25" s="1" t="n">
        <v>2</v>
      </c>
      <c r="J25" s="1" t="s">
        <v>76</v>
      </c>
      <c r="K25" s="1" t="s">
        <v>21</v>
      </c>
      <c r="L25" s="2" t="n">
        <v>0.5</v>
      </c>
      <c r="M25" s="1" t="s">
        <v>163</v>
      </c>
    </row>
    <row r="26" customFormat="false" ht="35.05" hidden="false" customHeight="false" outlineLevel="0" collapsed="false">
      <c r="A26" s="1" t="s">
        <v>164</v>
      </c>
      <c r="B26" s="1" t="s">
        <v>140</v>
      </c>
      <c r="C26" s="1" t="n">
        <v>1</v>
      </c>
      <c r="D26" s="1" t="s">
        <v>141</v>
      </c>
      <c r="E26" s="1" t="s">
        <v>165</v>
      </c>
      <c r="F26" s="1" t="s">
        <v>166</v>
      </c>
      <c r="G26" s="1" t="s">
        <v>167</v>
      </c>
      <c r="H26" s="1" t="s">
        <v>168</v>
      </c>
      <c r="I26" s="1" t="n">
        <v>3</v>
      </c>
      <c r="J26" s="1" t="s">
        <v>76</v>
      </c>
      <c r="K26" s="1" t="s">
        <v>21</v>
      </c>
      <c r="L26" s="2" t="n">
        <v>0.5</v>
      </c>
      <c r="M26" s="1" t="s">
        <v>96</v>
      </c>
    </row>
    <row r="27" customFormat="false" ht="23.85" hidden="false" customHeight="false" outlineLevel="0" collapsed="false">
      <c r="A27" s="1" t="s">
        <v>169</v>
      </c>
      <c r="B27" s="1" t="s">
        <v>140</v>
      </c>
      <c r="C27" s="1" t="n">
        <v>1</v>
      </c>
      <c r="D27" s="1" t="s">
        <v>141</v>
      </c>
      <c r="E27" s="1" t="s">
        <v>170</v>
      </c>
      <c r="F27" s="1" t="s">
        <v>171</v>
      </c>
      <c r="G27" s="1" t="s">
        <v>172</v>
      </c>
      <c r="H27" s="1" t="s">
        <v>173</v>
      </c>
      <c r="I27" s="1" t="n">
        <v>3</v>
      </c>
      <c r="J27" s="1" t="s">
        <v>76</v>
      </c>
      <c r="K27" s="1" t="s">
        <v>21</v>
      </c>
      <c r="L27" s="2" t="n">
        <v>0.5</v>
      </c>
      <c r="M27" s="1" t="s">
        <v>174</v>
      </c>
    </row>
    <row r="28" customFormat="false" ht="23.85" hidden="false" customHeight="false" outlineLevel="0" collapsed="false">
      <c r="A28" s="1" t="s">
        <v>175</v>
      </c>
      <c r="B28" s="1" t="s">
        <v>140</v>
      </c>
      <c r="C28" s="1" t="n">
        <v>1</v>
      </c>
      <c r="D28" s="1" t="s">
        <v>141</v>
      </c>
      <c r="E28" s="1" t="s">
        <v>176</v>
      </c>
      <c r="F28" s="1" t="s">
        <v>177</v>
      </c>
      <c r="G28" s="1" t="s">
        <v>178</v>
      </c>
      <c r="H28" s="1" t="s">
        <v>179</v>
      </c>
      <c r="I28" s="1" t="n">
        <v>3</v>
      </c>
      <c r="J28" s="1" t="s">
        <v>76</v>
      </c>
      <c r="K28" s="1" t="s">
        <v>21</v>
      </c>
      <c r="L28" s="2" t="n">
        <v>0.5</v>
      </c>
      <c r="M28" s="1" t="s">
        <v>180</v>
      </c>
    </row>
    <row r="29" customFormat="false" ht="23.85" hidden="false" customHeight="false" outlineLevel="0" collapsed="false">
      <c r="A29" s="1" t="s">
        <v>181</v>
      </c>
      <c r="B29" s="1" t="s">
        <v>140</v>
      </c>
      <c r="C29" s="1" t="n">
        <v>2</v>
      </c>
      <c r="D29" s="1" t="s">
        <v>141</v>
      </c>
      <c r="E29" s="1" t="s">
        <v>182</v>
      </c>
      <c r="F29" s="1" t="s">
        <v>183</v>
      </c>
      <c r="G29" s="1" t="s">
        <v>184</v>
      </c>
      <c r="H29" s="1" t="s">
        <v>185</v>
      </c>
      <c r="I29" s="1" t="n">
        <v>2</v>
      </c>
      <c r="J29" s="1" t="s">
        <v>76</v>
      </c>
      <c r="K29" s="1" t="s">
        <v>21</v>
      </c>
      <c r="L29" s="2" t="n">
        <v>0.5</v>
      </c>
      <c r="M29" s="1" t="s">
        <v>186</v>
      </c>
    </row>
    <row r="30" customFormat="false" ht="35.05" hidden="false" customHeight="false" outlineLevel="0" collapsed="false">
      <c r="A30" s="1" t="s">
        <v>187</v>
      </c>
      <c r="B30" s="1" t="s">
        <v>140</v>
      </c>
      <c r="C30" s="1" t="n">
        <v>1</v>
      </c>
      <c r="D30" s="1" t="s">
        <v>141</v>
      </c>
      <c r="E30" s="1" t="s">
        <v>188</v>
      </c>
      <c r="F30" s="1" t="s">
        <v>189</v>
      </c>
      <c r="G30" s="1" t="s">
        <v>190</v>
      </c>
      <c r="H30" s="1" t="s">
        <v>191</v>
      </c>
      <c r="I30" s="1" t="n">
        <v>2</v>
      </c>
      <c r="J30" s="1" t="s">
        <v>76</v>
      </c>
      <c r="K30" s="1" t="s">
        <v>21</v>
      </c>
      <c r="L30" s="2" t="n">
        <v>0.5</v>
      </c>
      <c r="M30" s="1" t="s">
        <v>192</v>
      </c>
    </row>
  </sheetData>
  <dataValidations count="3">
    <dataValidation allowBlank="false" errorStyle="stop" operator="between" showDropDown="false" showErrorMessage="false" showInputMessage="false" sqref="K2:K30" type="list">
      <formula1>"Not Started,In Progress,In Review,Done"</formula1>
      <formula2>0</formula2>
    </dataValidation>
    <dataValidation allowBlank="false" errorStyle="stop" operator="between" showDropDown="false" showErrorMessage="false" showInputMessage="false" sqref="J2:J30" type="list">
      <formula1>"Sprint 1,Sprint 2"</formula1>
      <formula2>0</formula2>
    </dataValidation>
    <dataValidation allowBlank="false" errorStyle="stop" operator="between" showDropDown="false" showErrorMessage="false" showInputMessage="false" sqref="C2:C30" type="list">
      <formula1>"1,2,3,4"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1</v>
      </c>
      <c r="B1" s="1" t="s">
        <v>193</v>
      </c>
      <c r="C1" s="1" t="s">
        <v>8</v>
      </c>
      <c r="D1" s="1" t="s">
        <v>194</v>
      </c>
      <c r="E1" s="1" t="s">
        <v>195</v>
      </c>
      <c r="F1" s="1" t="s">
        <v>196</v>
      </c>
    </row>
    <row r="2" customFormat="false" ht="15" hidden="false" customHeight="false" outlineLevel="0" collapsed="false">
      <c r="A2" s="1" t="s">
        <v>14</v>
      </c>
      <c r="B2" s="1" t="n">
        <f aca="false">COUNTIF('Sprint Backlog'!$B$2:$B$30,A2)</f>
        <v>5</v>
      </c>
      <c r="C2" s="1" t="n">
        <f aca="false">SUMIF('Sprint Backlog'!$B$2:$B$30,A2,'Sprint Backlog'!$I$2:$I$30)</f>
        <v>14</v>
      </c>
      <c r="D2" s="1" t="n">
        <f aca="false">SUMIFS('Sprint Backlog'!$I$2:$I$30,'Sprint Backlog'!$B$2:$B$30,A2,'Sprint Backlog'!$K$2:$K$30,"Done")</f>
        <v>0</v>
      </c>
      <c r="E2" s="3" t="n">
        <f aca="false">IF(C2=0,0,D2/C2)</f>
        <v>0</v>
      </c>
      <c r="F2" s="2" t="n">
        <f aca="false">SUMIF('Sprint Backlog'!$B$2:$B$30,A2,'Sprint Backlog'!$L$2:$L$30)</f>
        <v>2.5</v>
      </c>
    </row>
    <row r="3" customFormat="false" ht="15" hidden="false" customHeight="false" outlineLevel="0" collapsed="false">
      <c r="A3" s="1" t="s">
        <v>46</v>
      </c>
      <c r="B3" s="1" t="n">
        <f aca="false">COUNTIF('Sprint Backlog'!$B$2:$B$30,A3)</f>
        <v>6</v>
      </c>
      <c r="C3" s="1" t="n">
        <f aca="false">SUMIF('Sprint Backlog'!$B$2:$B$30,A3,'Sprint Backlog'!$I$2:$I$30)</f>
        <v>13</v>
      </c>
      <c r="D3" s="1" t="n">
        <f aca="false">SUMIFS('Sprint Backlog'!$I$2:$I$30,'Sprint Backlog'!$B$2:$B$30,A3,'Sprint Backlog'!$K$2:$K$30,"Done")</f>
        <v>0</v>
      </c>
      <c r="E3" s="3" t="n">
        <f aca="false">IF(C3=0,0,D3/C3)</f>
        <v>0</v>
      </c>
      <c r="F3" s="2" t="n">
        <f aca="false">SUMIF('Sprint Backlog'!$B$2:$B$30,A3,'Sprint Backlog'!$L$2:$L$30)</f>
        <v>2.75</v>
      </c>
    </row>
    <row r="4" customFormat="false" ht="15" hidden="false" customHeight="false" outlineLevel="0" collapsed="false">
      <c r="A4" s="1" t="s">
        <v>85</v>
      </c>
      <c r="B4" s="1" t="n">
        <f aca="false">COUNTIF('Sprint Backlog'!$B$2:$B$30,A4)</f>
        <v>9</v>
      </c>
      <c r="C4" s="1" t="n">
        <f aca="false">SUMIF('Sprint Backlog'!$B$2:$B$30,A4,'Sprint Backlog'!$I$2:$I$30)</f>
        <v>26</v>
      </c>
      <c r="D4" s="1" t="n">
        <f aca="false">SUMIFS('Sprint Backlog'!$I$2:$I$30,'Sprint Backlog'!$B$2:$B$30,A4,'Sprint Backlog'!$K$2:$K$30,"Done")</f>
        <v>0</v>
      </c>
      <c r="E4" s="3" t="n">
        <f aca="false">IF(C4=0,0,D4/C4)</f>
        <v>0</v>
      </c>
      <c r="F4" s="2" t="n">
        <f aca="false">SUMIF('Sprint Backlog'!$B$2:$B$30,A4,'Sprint Backlog'!$L$2:$L$30)</f>
        <v>5.25</v>
      </c>
    </row>
    <row r="5" customFormat="false" ht="15" hidden="false" customHeight="false" outlineLevel="0" collapsed="false">
      <c r="A5" s="1" t="s">
        <v>140</v>
      </c>
      <c r="B5" s="1" t="n">
        <f aca="false">COUNTIF('Sprint Backlog'!$B$2:$B$30,A5)</f>
        <v>9</v>
      </c>
      <c r="C5" s="1" t="n">
        <f aca="false">SUMIF('Sprint Backlog'!$B$2:$B$30,A5,'Sprint Backlog'!$I$2:$I$30)</f>
        <v>28</v>
      </c>
      <c r="D5" s="1" t="n">
        <f aca="false">SUMIFS('Sprint Backlog'!$I$2:$I$30,'Sprint Backlog'!$B$2:$B$30,A5,'Sprint Backlog'!$K$2:$K$30,"Done")</f>
        <v>0</v>
      </c>
      <c r="E5" s="3" t="n">
        <f aca="false">IF(C5=0,0,D5/C5)</f>
        <v>0</v>
      </c>
      <c r="F5" s="2" t="n">
        <f aca="false">SUMIF('Sprint Backlog'!$B$2:$B$30,A5,'Sprint Backlog'!$L$2:$L$30)</f>
        <v>5.5</v>
      </c>
    </row>
    <row r="6" customFormat="false" ht="15" hidden="false" customHeight="false" outlineLevel="0" collapsed="false">
      <c r="A6" s="1" t="s">
        <v>197</v>
      </c>
      <c r="B6" s="1" t="n">
        <f aca="false">SUM(B2:B5)</f>
        <v>29</v>
      </c>
      <c r="C6" s="1" t="n">
        <f aca="false">SUM(C2:C5)</f>
        <v>81</v>
      </c>
      <c r="D6" s="1" t="n">
        <f aca="false">SUM(D2:D5)</f>
        <v>0</v>
      </c>
      <c r="E6" s="3" t="n">
        <f aca="false">IF(C6=0,0,D6/C6)</f>
        <v>0</v>
      </c>
      <c r="F6" s="2" t="n">
        <f aca="false">SUM(F2:F5)</f>
        <v>16</v>
      </c>
    </row>
    <row r="8" customFormat="false" ht="15" hidden="false" customHeight="false" outlineLevel="0" collapsed="false">
      <c r="A8" s="1" t="s">
        <v>9</v>
      </c>
      <c r="B8" s="1" t="s">
        <v>193</v>
      </c>
      <c r="C8" s="1" t="s">
        <v>8</v>
      </c>
      <c r="D8" s="1" t="s">
        <v>198</v>
      </c>
      <c r="E8" s="1" t="s">
        <v>199</v>
      </c>
      <c r="F8" s="1" t="s">
        <v>196</v>
      </c>
    </row>
    <row r="9" customFormat="false" ht="15" hidden="false" customHeight="false" outlineLevel="0" collapsed="false">
      <c r="A9" s="1" t="s">
        <v>20</v>
      </c>
      <c r="B9" s="1" t="n">
        <f aca="false">COUNTIF('Sprint Backlog'!$J$2:$J$30,A9)</f>
        <v>12</v>
      </c>
      <c r="C9" s="1" t="n">
        <f aca="false">SUMIF('Sprint Backlog'!$J$2:$J$30,A9,'Sprint Backlog'!$I$2:$I$30)</f>
        <v>39</v>
      </c>
      <c r="D9" s="1" t="n">
        <f aca="false">$B$12</f>
        <v>42</v>
      </c>
      <c r="E9" s="1" t="n">
        <f aca="false">D9-C9</f>
        <v>3</v>
      </c>
      <c r="F9" s="2" t="n">
        <f aca="false">SUMIF('Sprint Backlog'!$J$2:$J$30,A9,'Sprint Backlog'!$L$2:$L$30)</f>
        <v>7.5</v>
      </c>
    </row>
    <row r="10" customFormat="false" ht="15" hidden="false" customHeight="false" outlineLevel="0" collapsed="false">
      <c r="A10" s="1" t="s">
        <v>76</v>
      </c>
      <c r="B10" s="1" t="n">
        <f aca="false">COUNTIF('Sprint Backlog'!$J$2:$J$30,A10)</f>
        <v>17</v>
      </c>
      <c r="C10" s="1" t="n">
        <f aca="false">SUMIF('Sprint Backlog'!$J$2:$J$30,A10,'Sprint Backlog'!$I$2:$I$30)</f>
        <v>42</v>
      </c>
      <c r="D10" s="1" t="n">
        <f aca="false">$B$12</f>
        <v>42</v>
      </c>
      <c r="E10" s="1" t="n">
        <f aca="false">D10-C10</f>
        <v>0</v>
      </c>
      <c r="F10" s="2" t="n">
        <f aca="false">SUMIF('Sprint Backlog'!$J$2:$J$30,A10,'Sprint Backlog'!$L$2:$L$30)</f>
        <v>8.5</v>
      </c>
    </row>
    <row r="12" customFormat="false" ht="15" hidden="false" customHeight="false" outlineLevel="0" collapsed="false">
      <c r="A12" s="1" t="s">
        <v>200</v>
      </c>
      <c r="B12" s="1" t="n">
        <v>42</v>
      </c>
    </row>
    <row r="13" customFormat="false" ht="15" hidden="false" customHeight="false" outlineLevel="0" collapsed="false">
      <c r="A13" s="4" t="s">
        <v>201</v>
      </c>
    </row>
    <row r="14" customFormat="false" ht="15" hidden="false" customHeight="false" outlineLevel="0" collapsed="false">
      <c r="A14" s="4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0"/>
  </cols>
  <sheetData>
    <row r="1" customFormat="false" ht="15" hidden="false" customHeight="false" outlineLevel="0" collapsed="false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</row>
    <row r="2" customFormat="false" ht="15" hidden="false" customHeight="false" outlineLevel="0" collapsed="false">
      <c r="A2" s="1" t="s">
        <v>208</v>
      </c>
      <c r="B2" s="1" t="s">
        <v>209</v>
      </c>
      <c r="C2" s="1" t="s">
        <v>210</v>
      </c>
      <c r="D2" s="1" t="s">
        <v>211</v>
      </c>
      <c r="E2" s="1" t="s">
        <v>212</v>
      </c>
    </row>
    <row r="3" customFormat="false" ht="15" hidden="false" customHeight="false" outlineLevel="0" collapsed="false">
      <c r="A3" s="1" t="s">
        <v>213</v>
      </c>
      <c r="B3" s="1" t="s">
        <v>214</v>
      </c>
      <c r="C3" s="1" t="s">
        <v>215</v>
      </c>
      <c r="D3" s="1" t="s">
        <v>216</v>
      </c>
      <c r="E3" s="1" t="s">
        <v>217</v>
      </c>
    </row>
    <row r="4" customFormat="false" ht="15" hidden="false" customHeight="false" outlineLevel="0" collapsed="false">
      <c r="A4" s="1" t="s">
        <v>218</v>
      </c>
      <c r="B4" s="1" t="s">
        <v>219</v>
      </c>
      <c r="C4" s="1" t="s">
        <v>220</v>
      </c>
      <c r="D4" s="1" t="s">
        <v>221</v>
      </c>
      <c r="E4" s="1" t="s">
        <v>222</v>
      </c>
    </row>
    <row r="5" customFormat="false" ht="15" hidden="false" customHeight="false" outlineLevel="0" collapsed="false">
      <c r="A5" s="1" t="s">
        <v>223</v>
      </c>
      <c r="B5" s="1" t="s">
        <v>224</v>
      </c>
      <c r="C5" s="1" t="s">
        <v>141</v>
      </c>
      <c r="D5" s="1" t="s">
        <v>225</v>
      </c>
    </row>
    <row r="6" customFormat="false" ht="15" hidden="false" customHeight="false" outlineLevel="0" collapsed="false">
      <c r="A6" s="1" t="s">
        <v>226</v>
      </c>
      <c r="B6" s="1" t="s">
        <v>227</v>
      </c>
      <c r="D6" s="1" t="s">
        <v>228</v>
      </c>
    </row>
    <row r="7" customFormat="false" ht="15" hidden="false" customHeight="false" outlineLevel="0" collapsed="false">
      <c r="A7" s="1" t="s">
        <v>229</v>
      </c>
      <c r="B7" s="1" t="s">
        <v>230</v>
      </c>
      <c r="D7" s="1" t="s">
        <v>231</v>
      </c>
    </row>
    <row r="8" customFormat="false" ht="15" hidden="false" customHeight="false" outlineLevel="0" collapsed="false">
      <c r="A8" s="1" t="s">
        <v>232</v>
      </c>
      <c r="B8" s="1" t="s">
        <v>233</v>
      </c>
      <c r="D8" s="1" t="s">
        <v>234</v>
      </c>
    </row>
    <row r="9" customFormat="false" ht="15" hidden="false" customHeight="false" outlineLevel="0" collapsed="false">
      <c r="A9" s="1" t="s">
        <v>235</v>
      </c>
      <c r="B9" s="1" t="s">
        <v>236</v>
      </c>
      <c r="D9" s="1" t="s">
        <v>237</v>
      </c>
    </row>
    <row r="11" customFormat="false" ht="15" hidden="false" customHeight="false" outlineLevel="0" collapsed="false">
      <c r="A11" s="1" t="s">
        <v>238</v>
      </c>
      <c r="B11" s="1" t="n">
        <v>14</v>
      </c>
    </row>
    <row r="13" customFormat="false" ht="15" hidden="false" customHeight="false" outlineLevel="0" collapsed="false">
      <c r="A13" s="4" t="s">
        <v>239</v>
      </c>
    </row>
    <row r="14" customFormat="false" ht="15" hidden="false" customHeight="false" outlineLevel="0" collapsed="false">
      <c r="A14" s="4" t="s">
        <v>240</v>
      </c>
    </row>
    <row r="15" customFormat="false" ht="15" hidden="false" customHeight="false" outlineLevel="0" collapsed="false">
      <c r="A15" s="4" t="s">
        <v>241</v>
      </c>
    </row>
    <row r="16" customFormat="false" ht="15" hidden="false" customHeight="false" outlineLevel="0" collapsed="false">
      <c r="A16" s="4" t="s">
        <v>242</v>
      </c>
    </row>
    <row r="17" customFormat="false" ht="15" hidden="false" customHeight="false" outlineLevel="0" collapsed="false">
      <c r="A17" s="4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244</v>
      </c>
      <c r="B1" s="1" t="s">
        <v>245</v>
      </c>
      <c r="C1" s="1" t="s">
        <v>246</v>
      </c>
      <c r="D1" s="1" t="s">
        <v>247</v>
      </c>
    </row>
    <row r="2" customFormat="false" ht="23.85" hidden="false" customHeight="false" outlineLevel="0" collapsed="false">
      <c r="A2" s="1" t="s">
        <v>248</v>
      </c>
      <c r="B2" s="1" t="s">
        <v>249</v>
      </c>
      <c r="C2" s="1" t="s">
        <v>250</v>
      </c>
      <c r="D2" s="1" t="s">
        <v>251</v>
      </c>
    </row>
    <row r="3" customFormat="false" ht="23.85" hidden="false" customHeight="false" outlineLevel="0" collapsed="false">
      <c r="A3" s="1" t="s">
        <v>252</v>
      </c>
      <c r="B3" s="1" t="s">
        <v>253</v>
      </c>
      <c r="C3" s="1" t="s">
        <v>254</v>
      </c>
      <c r="D3" s="1" t="s">
        <v>255</v>
      </c>
    </row>
    <row r="4" customFormat="false" ht="35.05" hidden="false" customHeight="false" outlineLevel="0" collapsed="false">
      <c r="A4" s="1" t="s">
        <v>256</v>
      </c>
      <c r="B4" s="1" t="s">
        <v>141</v>
      </c>
      <c r="C4" s="1" t="s">
        <v>257</v>
      </c>
      <c r="D4" s="1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George K Moore</dc:creator>
  <dc:description/>
  <dc:language>en-US</dc:language>
  <cp:lastModifiedBy/>
  <dcterms:modified xsi:type="dcterms:W3CDTF">2026-10-05T14:04:57Z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